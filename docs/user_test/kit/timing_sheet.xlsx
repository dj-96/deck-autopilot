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Session" sheetId="1" state="visible" r:id="rId1"/>
    <sheet xmlns:r="http://schemas.openxmlformats.org/officeDocument/2006/relationships" name="2 Manual (today)" sheetId="2" state="visible" r:id="rId2"/>
    <sheet xmlns:r="http://schemas.openxmlformats.org/officeDocument/2006/relationships" name="3 App" sheetId="3" state="visible" r:id="rId3"/>
    <sheet xmlns:r="http://schemas.openxmlformats.org/officeDocument/2006/relationships" name="4 Ratings + quotes" sheetId="4" state="visible" r:id="rId4"/>
    <sheet xmlns:r="http://schemas.openxmlformats.org/officeDocument/2006/relationships" name="5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2E93"/>
      <sz val="16"/>
    </font>
    <font>
      <i val="1"/>
      <color rgb="006B6B75"/>
    </font>
    <font>
      <b val="1"/>
    </font>
    <font>
      <b val="1"/>
      <color rgb="00FFFFFF"/>
    </font>
    <font>
      <b val="1"/>
      <color rgb="00FF2E93"/>
    </font>
  </fonts>
  <fills count="4">
    <fill>
      <patternFill/>
    </fill>
    <fill>
      <patternFill patternType="gray125"/>
    </fill>
    <fill>
      <patternFill patternType="solid">
        <fgColor rgb="00FDF2F8"/>
      </patternFill>
    </fill>
    <fill>
      <patternFill patternType="solid">
        <fgColor rgb="000B0B0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0" fillId="2" borderId="0" pivotButton="0" quotePrefix="0" xfId="0"/>
    <xf numFmtId="0" fontId="4" fillId="3" borderId="0" pivotButton="0" quotePrefix="0" xfId="0"/>
    <xf numFmtId="164" fontId="0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9" fontId="5" fillId="0" borderId="0" pivotButton="0" quotePrefix="0" xfId="0"/>
    <xf numFmtId="165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2E93"/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2" customWidth="1" min="1" max="1"/>
    <col width="40" customWidth="1" min="2" max="2"/>
  </cols>
  <sheetData>
    <row r="1">
      <c r="A1" s="1" t="inlineStr">
        <is>
          <t>Deck Autopilot: user test</t>
        </is>
      </c>
    </row>
    <row r="2">
      <c r="A2" s="2" t="inlineStr">
        <is>
          <t>One row of facts about the session. Pink cells are for you to fill in.</t>
        </is>
      </c>
    </row>
    <row r="4">
      <c r="A4" s="3" t="inlineStr">
        <is>
          <t>Date</t>
        </is>
      </c>
      <c r="B4" s="4" t="inlineStr"/>
    </row>
    <row r="5">
      <c r="A5" s="3" t="inlineStr">
        <is>
          <t>Participant (initials or name)</t>
        </is>
      </c>
      <c r="B5" s="4" t="inlineStr"/>
    </row>
    <row r="6">
      <c r="A6" s="3" t="inlineStr">
        <is>
          <t>Role / title</t>
        </is>
      </c>
      <c r="B6" s="4" t="inlineStr"/>
    </row>
    <row r="7">
      <c r="A7" s="3" t="inlineStr">
        <is>
          <t>Years in consulting or analytics</t>
        </is>
      </c>
      <c r="B7" s="4" t="inlineStr"/>
    </row>
    <row r="8">
      <c r="A8" s="3" t="inlineStr">
        <is>
          <t>How often do you refresh recurring decks?</t>
        </is>
      </c>
      <c r="B8" s="4" t="inlineStr"/>
    </row>
    <row r="9">
      <c r="A9" s="3" t="inlineStr">
        <is>
          <t>Typical time for one recurring deck refresh (their estimate, hours)</t>
        </is>
      </c>
      <c r="B9" s="4" t="inlineStr"/>
    </row>
    <row r="10">
      <c r="A10" s="3" t="inlineStr">
        <is>
          <t>OK to quote by name? (yes / initials only / no)</t>
        </is>
      </c>
      <c r="B10" s="4" t="inlineStr"/>
    </row>
    <row r="11">
      <c r="A11" s="3" t="inlineStr">
        <is>
          <t>Session format (in person / Zoom)</t>
        </is>
      </c>
      <c r="B11" s="4" t="inlineStr"/>
    </row>
    <row r="12">
      <c r="A12" s="3" t="inlineStr">
        <is>
          <t>Facilitator</t>
        </is>
      </c>
      <c r="B12" s="4" t="inlineStr">
        <is>
          <t>Jun Kim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2E93"/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0" customWidth="1" min="4" max="4"/>
    <col width="16" customWidth="1" min="5" max="5"/>
    <col width="26" customWidth="1" min="6" max="6"/>
    <col width="22" customWidth="1" min="7" max="7"/>
    <col width="40" customWidth="1" min="8" max="8"/>
  </cols>
  <sheetData>
    <row r="1">
      <c r="A1" s="1" t="inlineStr">
        <is>
          <t>Task A: update last month's deck by hand (15-minute timebox)</t>
        </is>
      </c>
    </row>
    <row r="2">
      <c r="A2" s="2" t="inlineStr">
        <is>
          <t>Give: northwind_september_deck.pptx + northwind_2026_10.csv (Excel allowed). Ask them to update slides in order until the timebox ends. Record clock times as hh:mm:ss. Score numbers against answer_key.csv.</t>
        </is>
      </c>
    </row>
    <row r="4">
      <c r="A4" s="5" t="inlineStr">
        <is>
          <t>Slide</t>
        </is>
      </c>
      <c r="B4" s="5" t="inlineStr">
        <is>
          <t>Start (hh:mm:ss)</t>
        </is>
      </c>
      <c r="C4" s="5" t="inlineStr">
        <is>
          <t>End (hh:mm:ss)</t>
        </is>
      </c>
      <c r="D4" s="5" t="inlineStr">
        <is>
          <t>Minutes</t>
        </is>
      </c>
      <c r="E4" s="5" t="inlineStr">
        <is>
          <t>Numbers updated</t>
        </is>
      </c>
      <c r="F4" s="5" t="inlineStr">
        <is>
          <t>Numbers wrong vs answer key</t>
        </is>
      </c>
      <c r="G4" s="5" t="inlineStr">
        <is>
          <t>Title rewritten? (Y/N)</t>
        </is>
      </c>
      <c r="H4" s="5" t="inlineStr">
        <is>
          <t>Notes</t>
        </is>
      </c>
    </row>
    <row r="5">
      <c r="A5" t="inlineStr">
        <is>
          <t>Title</t>
        </is>
      </c>
      <c r="B5" s="4" t="n"/>
      <c r="C5" s="4" t="n"/>
      <c r="D5" s="6">
        <f>IF(AND(B5&lt;&gt;"",C5&lt;&gt;""),(C5-B5)*1440,"")</f>
        <v/>
      </c>
      <c r="E5" s="4" t="n"/>
      <c r="F5" s="4" t="n"/>
      <c r="G5" s="4" t="n"/>
      <c r="H5" s="4" t="n"/>
    </row>
    <row r="6">
      <c r="A6" t="inlineStr">
        <is>
          <t>Executive summary</t>
        </is>
      </c>
      <c r="B6" s="4" t="n"/>
      <c r="C6" s="4" t="n"/>
      <c r="D6" s="6">
        <f>IF(AND(B6&lt;&gt;"",C6&lt;&gt;""),(C6-B6)*1440,"")</f>
        <v/>
      </c>
      <c r="E6" s="4" t="n"/>
      <c r="F6" s="4" t="n"/>
      <c r="G6" s="4" t="n"/>
      <c r="H6" s="4" t="n"/>
    </row>
    <row r="7">
      <c r="A7" t="inlineStr">
        <is>
          <t>Slide 1</t>
        </is>
      </c>
      <c r="B7" s="4" t="n"/>
      <c r="C7" s="4" t="n"/>
      <c r="D7" s="6">
        <f>IF(AND(B7&lt;&gt;"",C7&lt;&gt;""),(C7-B7)*1440,"")</f>
        <v/>
      </c>
      <c r="E7" s="4" t="n"/>
      <c r="F7" s="4" t="n"/>
      <c r="G7" s="4" t="n"/>
      <c r="H7" s="4" t="n"/>
    </row>
    <row r="8">
      <c r="A8" t="inlineStr">
        <is>
          <t>Slide 2</t>
        </is>
      </c>
      <c r="B8" s="4" t="n"/>
      <c r="C8" s="4" t="n"/>
      <c r="D8" s="6">
        <f>IF(AND(B8&lt;&gt;"",C8&lt;&gt;""),(C8-B8)*1440,"")</f>
        <v/>
      </c>
      <c r="E8" s="4" t="n"/>
      <c r="F8" s="4" t="n"/>
      <c r="G8" s="4" t="n"/>
      <c r="H8" s="4" t="n"/>
    </row>
    <row r="9">
      <c r="A9" t="inlineStr">
        <is>
          <t>Slide 3</t>
        </is>
      </c>
      <c r="B9" s="4" t="n"/>
      <c r="C9" s="4" t="n"/>
      <c r="D9" s="6">
        <f>IF(AND(B9&lt;&gt;"",C9&lt;&gt;""),(C9-B9)*1440,"")</f>
        <v/>
      </c>
      <c r="E9" s="4" t="n"/>
      <c r="F9" s="4" t="n"/>
      <c r="G9" s="4" t="n"/>
      <c r="H9" s="4" t="n"/>
    </row>
    <row r="10">
      <c r="A10" t="inlineStr">
        <is>
          <t>Slide 4</t>
        </is>
      </c>
      <c r="B10" s="4" t="n"/>
      <c r="C10" s="4" t="n"/>
      <c r="D10" s="6">
        <f>IF(AND(B10&lt;&gt;"",C10&lt;&gt;""),(C10-B10)*1440,"")</f>
        <v/>
      </c>
      <c r="E10" s="4" t="n"/>
      <c r="F10" s="4" t="n"/>
      <c r="G10" s="4" t="n"/>
      <c r="H10" s="4" t="n"/>
    </row>
    <row r="11">
      <c r="A11" t="inlineStr">
        <is>
          <t>Slide 5</t>
        </is>
      </c>
      <c r="B11" s="4" t="n"/>
      <c r="C11" s="4" t="n"/>
      <c r="D11" s="6">
        <f>IF(AND(B11&lt;&gt;"",C11&lt;&gt;""),(C11-B11)*1440,"")</f>
        <v/>
      </c>
      <c r="E11" s="4" t="n"/>
      <c r="F11" s="4" t="n"/>
      <c r="G11" s="4" t="n"/>
      <c r="H11" s="4" t="n"/>
    </row>
    <row r="13">
      <c r="A13" s="3" t="inlineStr">
        <is>
          <t>Slides finished</t>
        </is>
      </c>
      <c r="D13" s="7">
        <f>COUNT(D5:D11)</f>
        <v/>
      </c>
    </row>
    <row r="14">
      <c r="A14" s="3" t="inlineStr">
        <is>
          <t>Minutes used</t>
        </is>
      </c>
      <c r="D14" s="7">
        <f>SUM(D5:D11)</f>
        <v/>
      </c>
    </row>
    <row r="15">
      <c r="A15" s="3" t="inlineStr">
        <is>
          <t>Minutes per slide</t>
        </is>
      </c>
      <c r="D15" s="7">
        <f>IF(D13&gt;0,D14/D13,"")</f>
        <v/>
      </c>
    </row>
    <row r="16">
      <c r="A16" s="3" t="inlineStr">
        <is>
          <t>Projected minutes for the full 7-slide deck</t>
        </is>
      </c>
      <c r="D16" s="7">
        <f>IF(D15&lt;&gt;"",D15*7,"")</f>
        <v/>
      </c>
    </row>
    <row r="17">
      <c r="A17" s="3" t="inlineStr">
        <is>
          <t>Numbers wrong / numbers updated</t>
        </is>
      </c>
      <c r="D17" s="8">
        <f>IF(SUM(E5:E11)&gt;0,SUM(F5:F11)/SUM(E5:E11),"")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2E93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20" customWidth="1" min="3" max="3"/>
    <col width="50" customWidth="1" min="4" max="4"/>
  </cols>
  <sheetData>
    <row r="1">
      <c r="A1" s="1" t="inlineStr">
        <is>
          <t>Task B: same job with Deck Autopilot</t>
        </is>
      </c>
    </row>
    <row r="2">
      <c r="A2" s="2" t="inlineStr">
        <is>
          <t>Open the app, say only 'Refresh the October deck with this data.' Do not explain the UI; note where they hesitate.</t>
        </is>
      </c>
    </row>
    <row r="4">
      <c r="A4" s="5" t="inlineStr">
        <is>
          <t>Step</t>
        </is>
      </c>
      <c r="B4" s="5" t="inlineStr">
        <is>
          <t>Clock time (hh:mm:ss)</t>
        </is>
      </c>
      <c r="C4" s="5" t="inlineStr">
        <is>
          <t>Minutes from start</t>
        </is>
      </c>
      <c r="D4" s="5" t="inlineStr">
        <is>
          <t>Notes (hesitations, questions)</t>
        </is>
      </c>
    </row>
    <row r="5">
      <c r="A5" t="inlineStr">
        <is>
          <t>Start (app open, files on desktop)</t>
        </is>
      </c>
      <c r="B5" s="4" t="n"/>
      <c r="C5" s="6">
        <f>IF(B5&lt;&gt;"",(B5-$B$5)*1440,"")</f>
        <v/>
      </c>
      <c r="D5" s="4" t="n"/>
    </row>
    <row r="6">
      <c r="A6" t="inlineStr">
        <is>
          <t>Data chosen (files dropped or sample clicked)</t>
        </is>
      </c>
      <c r="B6" s="4" t="n"/>
      <c r="C6" s="6">
        <f>IF(B6&lt;&gt;"",(B6-$B$5)*1440,"")</f>
        <v/>
      </c>
      <c r="D6" s="4" t="n"/>
    </row>
    <row r="7">
      <c r="A7" t="inlineStr">
        <is>
          <t>Clicked Refresh my deck</t>
        </is>
      </c>
      <c r="B7" s="4" t="n"/>
      <c r="C7" s="6">
        <f>IF(B7&lt;&gt;"",(B7-$B$5)*1440,"")</f>
        <v/>
      </c>
      <c r="D7" s="4" t="n"/>
    </row>
    <row r="8">
      <c r="A8" t="inlineStr">
        <is>
          <t>Deck ready on screen</t>
        </is>
      </c>
      <c r="B8" s="4" t="n"/>
      <c r="C8" s="6">
        <f>IF(B8&lt;&gt;"",(B8-$B$5)*1440,"")</f>
        <v/>
      </c>
      <c r="D8" s="4" t="n"/>
    </row>
    <row r="9">
      <c r="A9" t="inlineStr">
        <is>
          <t>Finished reviewing slides (their call)</t>
        </is>
      </c>
      <c r="B9" s="4" t="n"/>
      <c r="C9" s="6">
        <f>IF(B9&lt;&gt;"",(B9-$B$5)*1440,"")</f>
        <v/>
      </c>
      <c r="D9" s="4" t="n"/>
    </row>
    <row r="10">
      <c r="A10" t="inlineStr">
        <is>
          <t>Downloaded .pptx</t>
        </is>
      </c>
      <c r="B10" s="4" t="n"/>
      <c r="C10" s="6">
        <f>IF(B10&lt;&gt;"",(B10-$B$5)*1440,"")</f>
        <v/>
      </c>
      <c r="D10" s="4" t="n"/>
    </row>
    <row r="11">
      <c r="A11" t="inlineStr">
        <is>
          <t>Opened .pptx and checked it (optional)</t>
        </is>
      </c>
      <c r="B11" s="4" t="n"/>
      <c r="C11" s="6">
        <f>IF(B11&lt;&gt;"",(B11-$B$5)*1440,"")</f>
        <v/>
      </c>
      <c r="D11" s="4" t="n"/>
    </row>
    <row r="14">
      <c r="A14" s="3" t="inlineStr">
        <is>
          <t>Minutes to a reviewed, downloaded deck</t>
        </is>
      </c>
      <c r="C14" s="7">
        <f>IF(B10&lt;&gt;"",(B10-B5)*1440,"")</f>
        <v/>
      </c>
    </row>
    <row r="15">
      <c r="A15" s="3" t="inlineStr">
        <is>
          <t>Could they use it without help? (Y / with one hint / N)</t>
        </is>
      </c>
      <c r="C15" s="4" t="n"/>
    </row>
    <row r="16">
      <c r="A16" s="3" t="inlineStr">
        <is>
          <t>Wrong numbers they found in the app's deck</t>
        </is>
      </c>
      <c r="C16" s="4" t="n"/>
    </row>
    <row r="17">
      <c r="A17" s="3" t="inlineStr">
        <is>
          <t>Did they click a bullet to trace its facts? (Y/N)</t>
        </is>
      </c>
      <c r="C17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2E93"/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70" customWidth="1" min="3" max="3"/>
  </cols>
  <sheetData>
    <row r="1">
      <c r="A1" s="1" t="inlineStr">
        <is>
          <t>After both tasks: ratings (1 = strongly disagree, 5 = strongly agree) and their words</t>
        </is>
      </c>
    </row>
    <row r="2">
      <c r="A2" s="2" t="inlineStr">
        <is>
          <t>Read each statement aloud. Write quotes word for word; ask permission to use them.</t>
        </is>
      </c>
    </row>
    <row r="4">
      <c r="A4" s="5" t="inlineStr">
        <is>
          <t>Statement</t>
        </is>
      </c>
      <c r="B4" s="5" t="inlineStr">
        <is>
          <t>Rating 1-5</t>
        </is>
      </c>
      <c r="C4" s="5" t="inlineStr">
        <is>
          <t>Why? (their words)</t>
        </is>
      </c>
    </row>
    <row r="5">
      <c r="A5" t="inlineStr">
        <is>
          <t>I trust the numbers in the app's deck.</t>
        </is>
      </c>
      <c r="B5" s="4" t="n"/>
      <c r="C5" s="4" t="n"/>
    </row>
    <row r="6">
      <c r="A6" t="inlineStr">
        <is>
          <t>The app's slides say what I would have said.</t>
        </is>
      </c>
      <c r="B6" s="4" t="n"/>
      <c r="C6" s="4" t="n"/>
    </row>
    <row r="7">
      <c r="A7" t="inlineStr">
        <is>
          <t>I could hand this deck to a manager after a quick review.</t>
        </is>
      </c>
      <c r="B7" s="4" t="n"/>
      <c r="C7" s="4" t="n"/>
    </row>
    <row r="8">
      <c r="A8" t="inlineStr">
        <is>
          <t>The app was easy to figure out.</t>
        </is>
      </c>
      <c r="B8" s="4" t="n"/>
      <c r="C8" s="4" t="n"/>
    </row>
    <row r="9">
      <c r="A9" t="inlineStr">
        <is>
          <t>I would use this for my recurring decks.</t>
        </is>
      </c>
      <c r="B9" s="4" t="n"/>
      <c r="C9" s="4" t="n"/>
    </row>
    <row r="10">
      <c r="A10" t="inlineStr">
        <is>
          <t>Seeing the facts behind each number makes me trust it more.</t>
        </is>
      </c>
      <c r="B10" s="4" t="n"/>
      <c r="C10" s="4" t="n"/>
    </row>
    <row r="12">
      <c r="A12" s="3" t="inlineStr">
        <is>
          <t>Average rating</t>
        </is>
      </c>
      <c r="B12" s="6">
        <f>IFERROR(AVERAGE(B5:B10),"")</f>
        <v/>
      </c>
    </row>
    <row r="14">
      <c r="A14" s="3" t="inlineStr">
        <is>
          <t>Best quote (word for word):</t>
        </is>
      </c>
      <c r="B14" s="4" t="n"/>
    </row>
    <row r="15">
      <c r="A15" s="3" t="inlineStr">
        <is>
          <t>What would stop you from using it?</t>
        </is>
      </c>
      <c r="B15" s="4" t="n"/>
    </row>
    <row r="16">
      <c r="A16" s="3" t="inlineStr">
        <is>
          <t>What is missing?</t>
        </is>
      </c>
      <c r="B16" s="4" t="n"/>
    </row>
    <row r="17">
      <c r="A17" s="3" t="inlineStr">
        <is>
          <t>What would you pay / would your firm pay for this?</t>
        </is>
      </c>
      <c r="B17" s="4" t="n"/>
    </row>
  </sheetData>
  <mergeCells count="4">
    <mergeCell ref="B14:C14"/>
    <mergeCell ref="B16:C16"/>
    <mergeCell ref="B15:C15"/>
    <mergeCell ref="B17:C17"/>
  </mergeCells>
  <dataValidations count="1">
    <dataValidation sqref="B5 B6 B7 B8 B9 B10" showDropDown="0" showInputMessage="0" showErrorMessage="1" allowBlank="0" type="whole" operator="between">
      <formula1>1</formula1>
      <formula2>5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2E93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44" customWidth="1" min="3" max="3"/>
    <col width="16" customWidth="1" min="4" max="4"/>
  </cols>
  <sheetData>
    <row r="1">
      <c r="A1" s="1" t="inlineStr">
        <is>
          <t>Before vs after (fills in automatically)</t>
        </is>
      </c>
    </row>
    <row r="2">
      <c r="A2" s="2" t="inlineStr">
        <is>
          <t>Copy these numbers into report section 7 (Impact).</t>
        </is>
      </c>
    </row>
    <row r="4">
      <c r="A4" s="5" t="inlineStr">
        <is>
          <t>Measure</t>
        </is>
      </c>
      <c r="B4" s="5" t="inlineStr">
        <is>
          <t>Manual (today)</t>
        </is>
      </c>
      <c r="C4" s="5" t="inlineStr">
        <is>
          <t>Deck Autopilot</t>
        </is>
      </c>
      <c r="D4" s="5" t="inlineStr">
        <is>
          <t>Difference</t>
        </is>
      </c>
    </row>
    <row r="5">
      <c r="A5" s="3" t="inlineStr">
        <is>
          <t>Minutes for the full deck</t>
        </is>
      </c>
      <c r="B5" s="6">
        <f>'2 Manual (today)'!D16</f>
        <v/>
      </c>
      <c r="C5" s="6">
        <f>'3 App'!C14</f>
        <v/>
      </c>
      <c r="D5" s="7">
        <f>IF(AND(ISNUMBER(B5),ISNUMBER(C5)),B5-C5,"")</f>
        <v/>
      </c>
    </row>
    <row r="6">
      <c r="A6" s="3" t="inlineStr">
        <is>
          <t>Time saved (%)</t>
        </is>
      </c>
      <c r="B6" t="inlineStr"/>
      <c r="C6" t="inlineStr"/>
      <c r="D6" s="9">
        <f>IF(AND(ISNUMBER(B5),ISNUMBER(C5),B5&gt;0),1-C5/B5,"")</f>
        <v/>
      </c>
    </row>
    <row r="7">
      <c r="A7" s="3" t="inlineStr">
        <is>
          <t>Wrong numbers per number written</t>
        </is>
      </c>
      <c r="B7" s="10">
        <f>'2 Manual (today)'!D17</f>
        <v/>
      </c>
      <c r="C7" t="inlineStr">
        <is>
          <t>0 flagged as verified-but-wrong (check row 16 of App)</t>
        </is>
      </c>
      <c r="D7" s="11" t="inlineStr"/>
    </row>
    <row r="8">
      <c r="A8" s="3" t="inlineStr">
        <is>
          <t>Average rating (1-5)</t>
        </is>
      </c>
      <c r="B8" s="6" t="inlineStr"/>
      <c r="C8" s="6">
        <f>'4 Ratings + quotes'!B12</f>
        <v/>
      </c>
      <c r="D8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2026-10-23T00:10:05Z</dcterms:created>
  <dcterms:modified xmlns:dcterms="http://purl.org/dc/terms/" xmlns:xsi="http://www.w3.org/2001/XMLSchema-instance" xsi:type="dcterms:W3CDTF">2026-10-23T00:10:05Z</dcterms:modified>
</cp:coreProperties>
</file>